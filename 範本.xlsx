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rsoftware-my.sharepoint.com/personal/howard_jiang_aceraeb_com/Documents/Downloads/"/>
    </mc:Choice>
  </mc:AlternateContent>
  <xr:revisionPtr revIDLastSave="15" documentId="11_4286C8CE6DBC49A3A4BDF700189B8BED433004DC" xr6:coauthVersionLast="47" xr6:coauthVersionMax="47" xr10:uidLastSave="{5D861296-27E8-4A75-99BC-959B45157610}"/>
  <bookViews>
    <workbookView xWindow="-108" yWindow="-108" windowWidth="23256" windowHeight="13896" xr2:uid="{00000000-000D-0000-FFFF-FFFF00000000}"/>
  </bookViews>
  <sheets>
    <sheet name="專案成本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2" l="1"/>
  <c r="K25" i="2"/>
  <c r="I25" i="2"/>
  <c r="G25" i="2"/>
  <c r="F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<sst xmlns="http://schemas.openxmlformats.org/spreadsheetml/2006/main" count="112" uniqueCount="112">
  <si>
    <t>工作說明</t>
  </si>
  <si>
    <t>備註</t>
  </si>
  <si>
    <t>總計</t>
  </si>
  <si>
    <t>專案階段</t>
  </si>
  <si>
    <t>工作項次</t>
  </si>
  <si>
    <t>工作項目</t>
  </si>
  <si>
    <t>工作編號</t>
  </si>
  <si>
    <t>工作天數(小計)</t>
  </si>
  <si>
    <t>內部成本小計</t>
  </si>
  <si>
    <t>第一階段
專案工作管理</t>
  </si>
  <si>
    <t>1</t>
  </si>
  <si>
    <t>專案啟動會議</t>
  </si>
  <si>
    <t>1.1</t>
  </si>
  <si>
    <t>召開專案啟動會議、確認範圍與分工</t>
  </si>
  <si>
    <t>2</t>
  </si>
  <si>
    <t>定期進度追蹤會議</t>
  </si>
  <si>
    <t>1.2</t>
  </si>
  <si>
    <t>每兩週例會、進度報告、風險追蹤</t>
  </si>
  <si>
    <t>3</t>
  </si>
  <si>
    <t>專案文件管理</t>
  </si>
  <si>
    <t>1.3</t>
  </si>
  <si>
    <t>維護專案計畫書、會議紀錄、變更記錄</t>
  </si>
  <si>
    <t>第二階段
設計規劃</t>
  </si>
  <si>
    <t>4</t>
  </si>
  <si>
    <t>資產清查與環境評估</t>
  </si>
  <si>
    <t>2.1</t>
  </si>
  <si>
    <t>端點數量盤點、OS 版本分布調查、MDE/MDI 授權活化率評估</t>
  </si>
  <si>
    <t>5</t>
  </si>
  <si>
    <t>高權限帳號 Tier-0 清單建立</t>
  </si>
  <si>
    <t>2.2</t>
  </si>
  <si>
    <t>識別 Tier-0/1/2 特權帳號、AD 環境現況記錄</t>
  </si>
  <si>
    <t>6</t>
  </si>
  <si>
    <t>零信任架構設計規劃</t>
  </si>
  <si>
    <t>2.3</t>
  </si>
  <si>
    <t>設計 MDE/MDI/MDO/Intune/Entra/Purview 導入藍圖與 ASR 稽核模式規劃</t>
  </si>
  <si>
    <t>7</t>
  </si>
  <si>
    <t>Purview 敏感資料盤點</t>
  </si>
  <si>
    <t>2.4</t>
  </si>
  <si>
    <t>敏感度標籤分類規劃、DLP 政策設計</t>
  </si>
  <si>
    <t>第三階段
發展階段</t>
  </si>
  <si>
    <t>8</t>
  </si>
  <si>
    <t>MDE P2 Pilot 啟動</t>
  </si>
  <si>
    <t>3.1</t>
  </si>
  <si>
    <t>10-15% 端點優先上線 MDE、EDR 告警品質確認</t>
  </si>
  <si>
    <t>9</t>
  </si>
  <si>
    <t>MDI 感測器部署（所有 DC）</t>
  </si>
  <si>
    <t>3.2</t>
  </si>
  <si>
    <t>所有 DC 部署 MDI 感測器、AD FS/AD CS/Entra Connect 納入、告警調優</t>
  </si>
  <si>
    <t>10</t>
  </si>
  <si>
    <t>MDO P1 試行設定</t>
  </si>
  <si>
    <t>3.3</t>
  </si>
  <si>
    <t>Safe Attachments / Safe Links / Anti-Phishing / BEC 試行</t>
  </si>
  <si>
    <t>11</t>
  </si>
  <si>
    <t>Intune + Entra P1 Pilot</t>
  </si>
  <si>
    <t>3.4</t>
  </si>
  <si>
    <t>條件式存取 Pilot、MDM/MAM 設定、MFA 試行</t>
  </si>
  <si>
    <t>12</t>
  </si>
  <si>
    <t>Purview 敏感標籤 Pilot</t>
  </si>
  <si>
    <t>3.5</t>
  </si>
  <si>
    <t>敏感標籤上線測試、Copilot 存取範圍驗證</t>
  </si>
  <si>
    <t>第四階段
系統部署</t>
  </si>
  <si>
    <t>13</t>
  </si>
  <si>
    <t>MDE P2 全面 Onboarding</t>
  </si>
  <si>
    <t>4.1</t>
  </si>
  <si>
    <t>端點覆蓋率衝刺 ≥ 90%（Intune/GPO/Script），ASR Enforce、CFA 啟用、AIR 自動化回應</t>
  </si>
  <si>
    <t>14</t>
  </si>
  <si>
    <t>MDVM 弱點管理啟用</t>
  </si>
  <si>
    <t>4.2</t>
  </si>
  <si>
    <t>端點弱點持續掃描、高危 CVE 修補追蹤（目標 ≥80%）</t>
  </si>
  <si>
    <t>15</t>
  </si>
  <si>
    <t>MDI 身分治理全面部署</t>
  </si>
  <si>
    <t>4.3</t>
  </si>
  <si>
    <t>Tier-0/1/2 治理藍圖執行、AD CS ESC 修補、ISPM 評分建立</t>
  </si>
  <si>
    <t>16</t>
  </si>
  <si>
    <t>MDO P1 全面部署</t>
  </si>
  <si>
    <t>4.4</t>
  </si>
  <si>
    <t>Safe Attachments/Links/Anti-Phishing/BEC/ZAP 全員、SharePoint/OneDrive/Teams 延伸防護</t>
  </si>
  <si>
    <t>17</t>
  </si>
  <si>
    <t>Intune + Entra P1 全員上線</t>
  </si>
  <si>
    <t>4.5</t>
  </si>
  <si>
    <t>條件式存取全員、Intune 合規基線、SSPR、全員 MFA 覆蓋、BYOD MAM</t>
  </si>
  <si>
    <t>18</t>
  </si>
  <si>
    <t>Purview DLP 全面套用 + Copilot 開放</t>
  </si>
  <si>
    <t>4.6</t>
  </si>
  <si>
    <t>DLP 政策全員、Purview Audit 啟用、Copilot M365 分批開放</t>
  </si>
  <si>
    <t>19</t>
  </si>
  <si>
    <t>Defender XDR 整合</t>
  </si>
  <si>
    <t>4.7</t>
  </si>
  <si>
    <t>MDE+MDI+MDO 告警自動關聯、XDR 單一面板設定、MTTA ≤30 分鐘目標</t>
  </si>
  <si>
    <t>第五階段
結案階段</t>
  </si>
  <si>
    <t>20</t>
  </si>
  <si>
    <t>SOAR 自動化回應整合</t>
  </si>
  <si>
    <t>5.1</t>
  </si>
  <si>
    <t>AIR 規則優化、Defender XDR 告警準確率調整</t>
  </si>
  <si>
    <t>21</t>
  </si>
  <si>
    <t>社交工程演練</t>
  </si>
  <si>
    <t>5.2</t>
  </si>
  <si>
    <t>釣魚郵件演練、BEC 防護測試、MDO 防護效益驗證</t>
  </si>
  <si>
    <t>22</t>
  </si>
  <si>
    <t>教育訓練</t>
  </si>
  <si>
    <t>5.3</t>
  </si>
  <si>
    <t>IT 管理員操作訓練（MDE/MDI/MDO/Intune/Entra/Purview）</t>
  </si>
  <si>
    <t>23</t>
  </si>
  <si>
    <t>結案驗收報告</t>
  </si>
  <si>
    <t>5.4</t>
  </si>
  <si>
    <t>專案成果彙整、KPI 達成率報告、移交文件</t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</si>
  <si>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Microsoft JhengHei"/>
        <family val="2"/>
        <charset val="136"/>
      </rPr>
      <t>人員3</t>
    </r>
    <r>
      <rPr>
        <b/>
        <sz val="10"/>
        <color rgb="FFFFFFFF"/>
        <rFont val="Arial"/>
        <family val="2"/>
      </rPr>
      <t>]</t>
    </r>
    <r>
      <rPr>
        <b/>
        <sz val="10"/>
        <color rgb="FFFFFFFF"/>
        <rFont val="Microsoft JhengHei"/>
        <family val="2"/>
      </rPr>
      <t>天數</t>
    </r>
    <phoneticPr fontId="6" type="noConversion"/>
  </si>
  <si>
    <r>
      <t>[</t>
    </r>
    <r>
      <rPr>
        <b/>
        <sz val="10"/>
        <color rgb="FFFFFFFF"/>
        <rFont val="新細明體"/>
        <family val="2"/>
        <charset val="136"/>
      </rPr>
      <t>人員2</t>
    </r>
    <r>
      <rPr>
        <b/>
        <sz val="10"/>
        <color rgb="FFFFFFFF"/>
        <rFont val="Arial"/>
        <family val="2"/>
      </rPr>
      <t>]</t>
    </r>
    <r>
      <rPr>
        <b/>
        <sz val="10"/>
        <color rgb="FFFFFFFF"/>
        <rFont val="新細明體"/>
        <family val="2"/>
        <charset val="136"/>
      </rPr>
      <t>天數</t>
    </r>
    <phoneticPr fontId="6" type="noConversion"/>
  </si>
  <si>
    <r>
      <t>[</t>
    </r>
    <r>
      <rPr>
        <b/>
        <sz val="10"/>
        <color rgb="FFFFFFFF"/>
        <rFont val="新細明體"/>
        <family val="2"/>
        <charset val="136"/>
      </rPr>
      <t>人員1</t>
    </r>
    <r>
      <rPr>
        <b/>
        <sz val="10"/>
        <color rgb="FFFFFFFF"/>
        <rFont val="Arial"/>
        <family val="2"/>
      </rPr>
      <t>]</t>
    </r>
    <r>
      <rPr>
        <b/>
        <sz val="10"/>
        <color rgb="FFFFFFFF"/>
        <rFont val="新細明體"/>
        <family val="2"/>
        <charset val="136"/>
      </rPr>
      <t>天數</t>
    </r>
    <phoneticPr fontId="6" type="noConversion"/>
  </si>
  <si>
    <r>
      <t>[</t>
    </r>
    <r>
      <rPr>
        <b/>
        <sz val="10"/>
        <color rgb="FFFFFFFF"/>
        <rFont val="新細明體"/>
        <family val="2"/>
        <charset val="136"/>
      </rPr>
      <t>人員1</t>
    </r>
    <r>
      <rPr>
        <b/>
        <sz val="10"/>
        <color rgb="FFFFFFFF"/>
        <rFont val="Arial"/>
        <family val="2"/>
      </rPr>
      <t>]</t>
    </r>
    <r>
      <rPr>
        <b/>
        <sz val="10"/>
        <color rgb="FFFFFFFF"/>
        <rFont val="新細明體"/>
        <family val="2"/>
        <charset val="136"/>
      </rPr>
      <t>單價</t>
    </r>
    <phoneticPr fontId="6" type="noConversion"/>
  </si>
  <si>
    <r>
      <t>[</t>
    </r>
    <r>
      <rPr>
        <b/>
        <sz val="10"/>
        <color rgb="FFFFFFFF"/>
        <rFont val="細明體"/>
        <family val="3"/>
        <charset val="136"/>
      </rPr>
      <t>人員3</t>
    </r>
    <r>
      <rPr>
        <b/>
        <sz val="10"/>
        <color rgb="FFFFFFFF"/>
        <rFont val="Arial"/>
      </rPr>
      <t>]</t>
    </r>
    <r>
      <rPr>
        <b/>
        <sz val="10"/>
        <color rgb="FFFFFFFF"/>
        <rFont val="細明體"/>
        <family val="3"/>
        <charset val="136"/>
      </rPr>
      <t>單價</t>
    </r>
    <phoneticPr fontId="6" type="noConversion"/>
  </si>
  <si>
    <r>
      <t>[</t>
    </r>
    <r>
      <rPr>
        <b/>
        <sz val="10"/>
        <color rgb="FFFFFFFF"/>
        <rFont val="細明體"/>
        <family val="3"/>
        <charset val="136"/>
      </rPr>
      <t>人員</t>
    </r>
    <r>
      <rPr>
        <b/>
        <sz val="10"/>
        <color rgb="FFFFFFFF"/>
        <rFont val="Arial"/>
      </rPr>
      <t>2]</t>
    </r>
    <r>
      <rPr>
        <b/>
        <sz val="10"/>
        <color rgb="FFFFFFFF"/>
        <rFont val="細明體"/>
        <family val="3"/>
        <charset val="136"/>
      </rPr>
      <t>單價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</si>
</sst>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b/>
      <sz val="9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FFFFFF"/>
      <name val="Arial"/>
    </font>
    <font>
      <sz val="9"/>
      <name val="新細明體"/>
      <family val="3"/>
      <charset val="136"/>
      <scheme val="minor"/>
    </font>
    <font>
      <b/>
      <sz val="10"/>
      <color rgb="FFFFFFFF"/>
      <name val="細明體"/>
      <family val="3"/>
      <charset val="136"/>
    </font>
    <font>
      <b/>
      <sz val="10"/>
      <color rgb="FFFFFFFF"/>
      <name val="Microsoft JhengHei"/>
      <family val="2"/>
      <charset val="136"/>
    </font>
    <font>
      <b/>
      <sz val="10"/>
      <color rgb="FFFFFFFF"/>
      <name val="Arial"/>
      <family val="2"/>
    </font>
    <font>
      <b/>
      <sz val="10"/>
      <color rgb="FFFFFFFF"/>
      <name val="Microsoft JhengHei"/>
      <family val="2"/>
    </font>
    <font>
      <b/>
      <sz val="10"/>
      <color rgb="FFFFFFFF"/>
      <name val="新細明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E1D5E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abSelected="1" workbookViewId="0">
      <pane ySplit="1" topLeftCell="A2" activePane="bottomLeft" state="frozen"/>
      <selection pane="bottomLeft" activeCell="P5" sqref="P5"/>
    </sheetView>
  </sheetViews>
  <sheetFormatPr defaultRowHeight="15"/>
  <cols>
    <col min="1" max="1" width="14" customWidth="1"/>
    <col min="2" max="2" width="6" customWidth="1"/>
    <col min="3" max="3" width="26" customWidth="1"/>
    <col min="4" max="4" width="10" customWidth="1"/>
    <col min="5" max="5" width="36" customWidth="1"/>
    <col min="6" max="6" width="10" customWidth="1"/>
    <col min="7" max="7" width="8" customWidth="1"/>
    <col min="8" max="8" width="12" customWidth="1"/>
    <col min="9" max="9" width="8" customWidth="1"/>
    <col min="10" max="10" width="12" customWidth="1"/>
    <col min="11" max="11" width="8" customWidth="1"/>
    <col min="12" max="12" width="12" customWidth="1"/>
    <col min="13" max="14" width="14" customWidth="1"/>
  </cols>
  <sheetData>
    <row r="1" spans="1:14" ht="30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7</v>
      </c>
      <c r="G1" s="22" t="s">
        <v>108</v>
      </c>
      <c r="H1" s="22" t="s">
        <v>109</v>
      </c>
      <c r="I1" s="22" t="s">
        <v>107</v>
      </c>
      <c r="J1" s="22" t="s">
        <v>111</v>
      </c>
      <c r="K1" s="22" t="s">
        <v>106</v>
      </c>
      <c r="L1" s="22" t="s">
        <v>110</v>
      </c>
      <c r="M1" s="1" t="s">
        <v>8</v>
      </c>
      <c r="N1" s="1" t="s">
        <v>1</v>
      </c>
    </row>
    <row r="2" spans="1:14" ht="30" customHeight="1">
      <c r="A2" s="19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>
        <v>2</v>
      </c>
      <c r="G2" s="6">
        <v>1</v>
      </c>
      <c r="H2" s="6">
        <v>8000</v>
      </c>
      <c r="I2" s="6">
        <v>0</v>
      </c>
      <c r="J2" s="6">
        <v>8000</v>
      </c>
      <c r="K2" s="6">
        <v>1</v>
      </c>
      <c r="L2" s="6">
        <v>8000</v>
      </c>
      <c r="M2" s="4">
        <f t="shared" ref="M2:M24" si="0">G2*H2+I2*J2+K2*L2</f>
        <v>16000</v>
      </c>
      <c r="N2" s="4"/>
    </row>
    <row r="3" spans="1:14" ht="30" customHeight="1">
      <c r="A3" s="20"/>
      <c r="B3" s="4" t="s">
        <v>14</v>
      </c>
      <c r="C3" s="4" t="s">
        <v>15</v>
      </c>
      <c r="D3" s="4" t="s">
        <v>16</v>
      </c>
      <c r="E3" s="5" t="s">
        <v>17</v>
      </c>
      <c r="F3" s="4">
        <v>5</v>
      </c>
      <c r="G3" s="6">
        <v>2</v>
      </c>
      <c r="H3" s="6">
        <v>8000</v>
      </c>
      <c r="I3" s="6">
        <v>0</v>
      </c>
      <c r="J3" s="6">
        <v>8000</v>
      </c>
      <c r="K3" s="6">
        <v>1</v>
      </c>
      <c r="L3" s="6">
        <v>8000</v>
      </c>
      <c r="M3" s="4">
        <f t="shared" si="0"/>
        <v>24000</v>
      </c>
      <c r="N3" s="4"/>
    </row>
    <row r="4" spans="1:14" ht="30" customHeight="1">
      <c r="A4" s="21"/>
      <c r="B4" s="4" t="s">
        <v>18</v>
      </c>
      <c r="C4" s="4" t="s">
        <v>19</v>
      </c>
      <c r="D4" s="4" t="s">
        <v>20</v>
      </c>
      <c r="E4" s="5" t="s">
        <v>21</v>
      </c>
      <c r="F4" s="4">
        <v>3</v>
      </c>
      <c r="G4" s="6">
        <v>2</v>
      </c>
      <c r="H4" s="6">
        <v>8000</v>
      </c>
      <c r="I4" s="6">
        <v>0</v>
      </c>
      <c r="J4" s="6">
        <v>8000</v>
      </c>
      <c r="K4" s="6">
        <v>1</v>
      </c>
      <c r="L4" s="6">
        <v>8000</v>
      </c>
      <c r="M4" s="4">
        <f t="shared" si="0"/>
        <v>24000</v>
      </c>
      <c r="N4" s="4"/>
    </row>
    <row r="5" spans="1:14" ht="30" customHeight="1">
      <c r="A5" s="19" t="s">
        <v>22</v>
      </c>
      <c r="B5" s="7" t="s">
        <v>23</v>
      </c>
      <c r="C5" s="7" t="s">
        <v>24</v>
      </c>
      <c r="D5" s="7" t="s">
        <v>25</v>
      </c>
      <c r="E5" s="8" t="s">
        <v>26</v>
      </c>
      <c r="F5" s="7">
        <v>3</v>
      </c>
      <c r="G5" s="9">
        <v>0</v>
      </c>
      <c r="H5" s="9">
        <v>8000</v>
      </c>
      <c r="I5" s="9">
        <v>2</v>
      </c>
      <c r="J5" s="9">
        <v>8000</v>
      </c>
      <c r="K5" s="9">
        <v>1</v>
      </c>
      <c r="L5" s="9">
        <v>8000</v>
      </c>
      <c r="M5" s="7">
        <f t="shared" si="0"/>
        <v>24000</v>
      </c>
      <c r="N5" s="7"/>
    </row>
    <row r="6" spans="1:14" ht="30" customHeight="1">
      <c r="A6" s="20"/>
      <c r="B6" s="7" t="s">
        <v>27</v>
      </c>
      <c r="C6" s="7" t="s">
        <v>28</v>
      </c>
      <c r="D6" s="7" t="s">
        <v>29</v>
      </c>
      <c r="E6" s="8" t="s">
        <v>30</v>
      </c>
      <c r="F6" s="7">
        <v>2</v>
      </c>
      <c r="G6" s="9">
        <v>0</v>
      </c>
      <c r="H6" s="9">
        <v>8000</v>
      </c>
      <c r="I6" s="9">
        <v>1</v>
      </c>
      <c r="J6" s="9">
        <v>8000</v>
      </c>
      <c r="K6" s="9">
        <v>1</v>
      </c>
      <c r="L6" s="9">
        <v>8000</v>
      </c>
      <c r="M6" s="7">
        <f t="shared" si="0"/>
        <v>16000</v>
      </c>
      <c r="N6" s="7"/>
    </row>
    <row r="7" spans="1:14" ht="30" customHeight="1">
      <c r="A7" s="20"/>
      <c r="B7" s="7" t="s">
        <v>31</v>
      </c>
      <c r="C7" s="7" t="s">
        <v>32</v>
      </c>
      <c r="D7" s="7" t="s">
        <v>33</v>
      </c>
      <c r="E7" s="8" t="s">
        <v>34</v>
      </c>
      <c r="F7" s="7">
        <v>3</v>
      </c>
      <c r="G7" s="9">
        <v>0</v>
      </c>
      <c r="H7" s="9">
        <v>8000</v>
      </c>
      <c r="I7" s="9">
        <v>0</v>
      </c>
      <c r="J7" s="9">
        <v>8000</v>
      </c>
      <c r="K7" s="9">
        <v>3</v>
      </c>
      <c r="L7" s="9">
        <v>8000</v>
      </c>
      <c r="M7" s="7">
        <f t="shared" si="0"/>
        <v>24000</v>
      </c>
      <c r="N7" s="7"/>
    </row>
    <row r="8" spans="1:14" ht="30" customHeight="1">
      <c r="A8" s="21"/>
      <c r="B8" s="7" t="s">
        <v>35</v>
      </c>
      <c r="C8" s="7" t="s">
        <v>36</v>
      </c>
      <c r="D8" s="7" t="s">
        <v>37</v>
      </c>
      <c r="E8" s="8" t="s">
        <v>38</v>
      </c>
      <c r="F8" s="7">
        <v>2</v>
      </c>
      <c r="G8" s="9">
        <v>0</v>
      </c>
      <c r="H8" s="9">
        <v>8000</v>
      </c>
      <c r="I8" s="9">
        <v>1</v>
      </c>
      <c r="J8" s="9">
        <v>8000</v>
      </c>
      <c r="K8" s="9">
        <v>1</v>
      </c>
      <c r="L8" s="9">
        <v>8000</v>
      </c>
      <c r="M8" s="7">
        <f t="shared" si="0"/>
        <v>16000</v>
      </c>
      <c r="N8" s="7"/>
    </row>
    <row r="9" spans="1:14" ht="30" customHeight="1">
      <c r="A9" s="19" t="s">
        <v>39</v>
      </c>
      <c r="B9" s="10" t="s">
        <v>40</v>
      </c>
      <c r="C9" s="10" t="s">
        <v>41</v>
      </c>
      <c r="D9" s="10" t="s">
        <v>42</v>
      </c>
      <c r="E9" s="11" t="s">
        <v>43</v>
      </c>
      <c r="F9" s="10">
        <v>5</v>
      </c>
      <c r="G9" s="12">
        <v>0</v>
      </c>
      <c r="H9" s="12">
        <v>8000</v>
      </c>
      <c r="I9" s="12">
        <v>3</v>
      </c>
      <c r="J9" s="12">
        <v>8000</v>
      </c>
      <c r="K9" s="12">
        <v>2</v>
      </c>
      <c r="L9" s="12">
        <v>8000</v>
      </c>
      <c r="M9" s="10">
        <f t="shared" si="0"/>
        <v>40000</v>
      </c>
      <c r="N9" s="10"/>
    </row>
    <row r="10" spans="1:14" ht="30" customHeight="1">
      <c r="A10" s="20"/>
      <c r="B10" s="10" t="s">
        <v>44</v>
      </c>
      <c r="C10" s="10" t="s">
        <v>45</v>
      </c>
      <c r="D10" s="10" t="s">
        <v>46</v>
      </c>
      <c r="E10" s="11" t="s">
        <v>47</v>
      </c>
      <c r="F10" s="10">
        <v>5</v>
      </c>
      <c r="G10" s="12">
        <v>0</v>
      </c>
      <c r="H10" s="12">
        <v>8000</v>
      </c>
      <c r="I10" s="12">
        <v>3</v>
      </c>
      <c r="J10" s="12">
        <v>8000</v>
      </c>
      <c r="K10" s="12">
        <v>2</v>
      </c>
      <c r="L10" s="12">
        <v>8000</v>
      </c>
      <c r="M10" s="10">
        <f t="shared" si="0"/>
        <v>40000</v>
      </c>
      <c r="N10" s="10"/>
    </row>
    <row r="11" spans="1:14" ht="30" customHeight="1">
      <c r="A11" s="20"/>
      <c r="B11" s="10" t="s">
        <v>48</v>
      </c>
      <c r="C11" s="10" t="s">
        <v>49</v>
      </c>
      <c r="D11" s="10" t="s">
        <v>50</v>
      </c>
      <c r="E11" s="11" t="s">
        <v>51</v>
      </c>
      <c r="F11" s="10">
        <v>3</v>
      </c>
      <c r="G11" s="12">
        <v>0</v>
      </c>
      <c r="H11" s="12">
        <v>8000</v>
      </c>
      <c r="I11" s="12">
        <v>2</v>
      </c>
      <c r="J11" s="12">
        <v>8000</v>
      </c>
      <c r="K11" s="12">
        <v>1</v>
      </c>
      <c r="L11" s="12">
        <v>8000</v>
      </c>
      <c r="M11" s="10">
        <f t="shared" si="0"/>
        <v>24000</v>
      </c>
      <c r="N11" s="10"/>
    </row>
    <row r="12" spans="1:14" ht="30" customHeight="1">
      <c r="A12" s="20"/>
      <c r="B12" s="10" t="s">
        <v>52</v>
      </c>
      <c r="C12" s="10" t="s">
        <v>53</v>
      </c>
      <c r="D12" s="10" t="s">
        <v>54</v>
      </c>
      <c r="E12" s="11" t="s">
        <v>55</v>
      </c>
      <c r="F12" s="10">
        <v>4</v>
      </c>
      <c r="G12" s="12">
        <v>0</v>
      </c>
      <c r="H12" s="12">
        <v>8000</v>
      </c>
      <c r="I12" s="12">
        <v>2</v>
      </c>
      <c r="J12" s="12">
        <v>8000</v>
      </c>
      <c r="K12" s="12">
        <v>2</v>
      </c>
      <c r="L12" s="12">
        <v>8000</v>
      </c>
      <c r="M12" s="10">
        <f t="shared" si="0"/>
        <v>32000</v>
      </c>
      <c r="N12" s="10"/>
    </row>
    <row r="13" spans="1:14" ht="30" customHeight="1">
      <c r="A13" s="21"/>
      <c r="B13" s="10" t="s">
        <v>56</v>
      </c>
      <c r="C13" s="10" t="s">
        <v>57</v>
      </c>
      <c r="D13" s="10" t="s">
        <v>58</v>
      </c>
      <c r="E13" s="11" t="s">
        <v>59</v>
      </c>
      <c r="F13" s="10">
        <v>2</v>
      </c>
      <c r="G13" s="12">
        <v>0</v>
      </c>
      <c r="H13" s="12">
        <v>8000</v>
      </c>
      <c r="I13" s="12">
        <v>1</v>
      </c>
      <c r="J13" s="12">
        <v>8000</v>
      </c>
      <c r="K13" s="12">
        <v>1</v>
      </c>
      <c r="L13" s="12">
        <v>8000</v>
      </c>
      <c r="M13" s="10">
        <f t="shared" si="0"/>
        <v>16000</v>
      </c>
      <c r="N13" s="10"/>
    </row>
    <row r="14" spans="1:14" ht="30" customHeight="1">
      <c r="A14" s="19" t="s">
        <v>60</v>
      </c>
      <c r="B14" s="13" t="s">
        <v>61</v>
      </c>
      <c r="C14" s="13" t="s">
        <v>62</v>
      </c>
      <c r="D14" s="13" t="s">
        <v>63</v>
      </c>
      <c r="E14" s="14" t="s">
        <v>64</v>
      </c>
      <c r="F14" s="13">
        <v>8</v>
      </c>
      <c r="G14" s="15">
        <v>0</v>
      </c>
      <c r="H14" s="15">
        <v>8000</v>
      </c>
      <c r="I14" s="15">
        <v>5</v>
      </c>
      <c r="J14" s="15">
        <v>8000</v>
      </c>
      <c r="K14" s="15">
        <v>3</v>
      </c>
      <c r="L14" s="15">
        <v>8000</v>
      </c>
      <c r="M14" s="13">
        <f t="shared" si="0"/>
        <v>64000</v>
      </c>
      <c r="N14" s="13"/>
    </row>
    <row r="15" spans="1:14" ht="30" customHeight="1">
      <c r="A15" s="20"/>
      <c r="B15" s="13" t="s">
        <v>65</v>
      </c>
      <c r="C15" s="13" t="s">
        <v>66</v>
      </c>
      <c r="D15" s="13" t="s">
        <v>67</v>
      </c>
      <c r="E15" s="14" t="s">
        <v>68</v>
      </c>
      <c r="F15" s="13">
        <v>3</v>
      </c>
      <c r="G15" s="15">
        <v>0</v>
      </c>
      <c r="H15" s="15">
        <v>8000</v>
      </c>
      <c r="I15" s="15">
        <v>2</v>
      </c>
      <c r="J15" s="15">
        <v>8000</v>
      </c>
      <c r="K15" s="15">
        <v>1</v>
      </c>
      <c r="L15" s="15">
        <v>8000</v>
      </c>
      <c r="M15" s="13">
        <f t="shared" si="0"/>
        <v>24000</v>
      </c>
      <c r="N15" s="13"/>
    </row>
    <row r="16" spans="1:14" ht="30" customHeight="1">
      <c r="A16" s="20"/>
      <c r="B16" s="13" t="s">
        <v>69</v>
      </c>
      <c r="C16" s="13" t="s">
        <v>70</v>
      </c>
      <c r="D16" s="13" t="s">
        <v>71</v>
      </c>
      <c r="E16" s="14" t="s">
        <v>72</v>
      </c>
      <c r="F16" s="13">
        <v>4</v>
      </c>
      <c r="G16" s="15">
        <v>0</v>
      </c>
      <c r="H16" s="15">
        <v>8000</v>
      </c>
      <c r="I16" s="15">
        <v>2</v>
      </c>
      <c r="J16" s="15">
        <v>8000</v>
      </c>
      <c r="K16" s="15">
        <v>2</v>
      </c>
      <c r="L16" s="15">
        <v>8000</v>
      </c>
      <c r="M16" s="13">
        <f t="shared" si="0"/>
        <v>32000</v>
      </c>
      <c r="N16" s="13"/>
    </row>
    <row r="17" spans="1:14" ht="30" customHeight="1">
      <c r="A17" s="20"/>
      <c r="B17" s="13" t="s">
        <v>73</v>
      </c>
      <c r="C17" s="13" t="s">
        <v>74</v>
      </c>
      <c r="D17" s="13" t="s">
        <v>75</v>
      </c>
      <c r="E17" s="14" t="s">
        <v>76</v>
      </c>
      <c r="F17" s="13">
        <v>3</v>
      </c>
      <c r="G17" s="15">
        <v>0</v>
      </c>
      <c r="H17" s="15">
        <v>8000</v>
      </c>
      <c r="I17" s="15">
        <v>2</v>
      </c>
      <c r="J17" s="15">
        <v>8000</v>
      </c>
      <c r="K17" s="15">
        <v>1</v>
      </c>
      <c r="L17" s="15">
        <v>8000</v>
      </c>
      <c r="M17" s="13">
        <f t="shared" si="0"/>
        <v>24000</v>
      </c>
      <c r="N17" s="13"/>
    </row>
    <row r="18" spans="1:14" ht="30" customHeight="1">
      <c r="A18" s="20"/>
      <c r="B18" s="13" t="s">
        <v>77</v>
      </c>
      <c r="C18" s="13" t="s">
        <v>78</v>
      </c>
      <c r="D18" s="13" t="s">
        <v>79</v>
      </c>
      <c r="E18" s="14" t="s">
        <v>80</v>
      </c>
      <c r="F18" s="13">
        <v>5</v>
      </c>
      <c r="G18" s="15">
        <v>0</v>
      </c>
      <c r="H18" s="15">
        <v>8000</v>
      </c>
      <c r="I18" s="15">
        <v>3</v>
      </c>
      <c r="J18" s="15">
        <v>8000</v>
      </c>
      <c r="K18" s="15">
        <v>2</v>
      </c>
      <c r="L18" s="15">
        <v>8000</v>
      </c>
      <c r="M18" s="13">
        <f t="shared" si="0"/>
        <v>40000</v>
      </c>
      <c r="N18" s="13"/>
    </row>
    <row r="19" spans="1:14" ht="30" customHeight="1">
      <c r="A19" s="20"/>
      <c r="B19" s="13" t="s">
        <v>81</v>
      </c>
      <c r="C19" s="13" t="s">
        <v>82</v>
      </c>
      <c r="D19" s="13" t="s">
        <v>83</v>
      </c>
      <c r="E19" s="14" t="s">
        <v>84</v>
      </c>
      <c r="F19" s="13">
        <v>4</v>
      </c>
      <c r="G19" s="15">
        <v>0</v>
      </c>
      <c r="H19" s="15">
        <v>8000</v>
      </c>
      <c r="I19" s="15">
        <v>2</v>
      </c>
      <c r="J19" s="15">
        <v>8000</v>
      </c>
      <c r="K19" s="15">
        <v>2</v>
      </c>
      <c r="L19" s="15">
        <v>8000</v>
      </c>
      <c r="M19" s="13">
        <f t="shared" si="0"/>
        <v>32000</v>
      </c>
      <c r="N19" s="13"/>
    </row>
    <row r="20" spans="1:14" ht="30" customHeight="1">
      <c r="A20" s="21"/>
      <c r="B20" s="13" t="s">
        <v>85</v>
      </c>
      <c r="C20" s="13" t="s">
        <v>86</v>
      </c>
      <c r="D20" s="13" t="s">
        <v>87</v>
      </c>
      <c r="E20" s="14" t="s">
        <v>88</v>
      </c>
      <c r="F20" s="13">
        <v>3</v>
      </c>
      <c r="G20" s="15">
        <v>0</v>
      </c>
      <c r="H20" s="15">
        <v>8000</v>
      </c>
      <c r="I20" s="15">
        <v>1</v>
      </c>
      <c r="J20" s="15">
        <v>8000</v>
      </c>
      <c r="K20" s="15">
        <v>2</v>
      </c>
      <c r="L20" s="15">
        <v>8000</v>
      </c>
      <c r="M20" s="13">
        <f t="shared" si="0"/>
        <v>24000</v>
      </c>
      <c r="N20" s="13"/>
    </row>
    <row r="21" spans="1:14" ht="30" customHeight="1">
      <c r="A21" s="19" t="s">
        <v>89</v>
      </c>
      <c r="B21" s="16" t="s">
        <v>90</v>
      </c>
      <c r="C21" s="16" t="s">
        <v>91</v>
      </c>
      <c r="D21" s="16" t="s">
        <v>92</v>
      </c>
      <c r="E21" s="17" t="s">
        <v>93</v>
      </c>
      <c r="F21" s="16">
        <v>3</v>
      </c>
      <c r="G21" s="18">
        <v>0</v>
      </c>
      <c r="H21" s="18">
        <v>8000</v>
      </c>
      <c r="I21" s="18">
        <v>2</v>
      </c>
      <c r="J21" s="18">
        <v>8000</v>
      </c>
      <c r="K21" s="18">
        <v>1</v>
      </c>
      <c r="L21" s="18">
        <v>8000</v>
      </c>
      <c r="M21" s="16">
        <f t="shared" si="0"/>
        <v>24000</v>
      </c>
      <c r="N21" s="16"/>
    </row>
    <row r="22" spans="1:14" ht="30" customHeight="1">
      <c r="A22" s="20"/>
      <c r="B22" s="16" t="s">
        <v>94</v>
      </c>
      <c r="C22" s="16" t="s">
        <v>95</v>
      </c>
      <c r="D22" s="16" t="s">
        <v>96</v>
      </c>
      <c r="E22" s="17" t="s">
        <v>97</v>
      </c>
      <c r="F22" s="16">
        <v>2</v>
      </c>
      <c r="G22" s="18">
        <v>0</v>
      </c>
      <c r="H22" s="18">
        <v>8000</v>
      </c>
      <c r="I22" s="18">
        <v>1</v>
      </c>
      <c r="J22" s="18">
        <v>8000</v>
      </c>
      <c r="K22" s="18">
        <v>1</v>
      </c>
      <c r="L22" s="18">
        <v>8000</v>
      </c>
      <c r="M22" s="16">
        <f t="shared" si="0"/>
        <v>16000</v>
      </c>
      <c r="N22" s="16"/>
    </row>
    <row r="23" spans="1:14" ht="30" customHeight="1">
      <c r="A23" s="20"/>
      <c r="B23" s="16" t="s">
        <v>98</v>
      </c>
      <c r="C23" s="16" t="s">
        <v>99</v>
      </c>
      <c r="D23" s="16" t="s">
        <v>100</v>
      </c>
      <c r="E23" s="17" t="s">
        <v>101</v>
      </c>
      <c r="F23" s="16">
        <v>2</v>
      </c>
      <c r="G23" s="18">
        <v>1</v>
      </c>
      <c r="H23" s="18">
        <v>8000</v>
      </c>
      <c r="I23" s="18">
        <v>1</v>
      </c>
      <c r="J23" s="18">
        <v>8000</v>
      </c>
      <c r="K23" s="18">
        <v>0</v>
      </c>
      <c r="L23" s="18">
        <v>8000</v>
      </c>
      <c r="M23" s="16">
        <f t="shared" si="0"/>
        <v>16000</v>
      </c>
      <c r="N23" s="16"/>
    </row>
    <row r="24" spans="1:14" ht="30" customHeight="1">
      <c r="A24" s="21"/>
      <c r="B24" s="16" t="s">
        <v>102</v>
      </c>
      <c r="C24" s="16" t="s">
        <v>103</v>
      </c>
      <c r="D24" s="16" t="s">
        <v>104</v>
      </c>
      <c r="E24" s="17" t="s">
        <v>105</v>
      </c>
      <c r="F24" s="16">
        <v>2</v>
      </c>
      <c r="G24" s="18">
        <v>2</v>
      </c>
      <c r="H24" s="18">
        <v>8000</v>
      </c>
      <c r="I24" s="18">
        <v>1</v>
      </c>
      <c r="J24" s="18">
        <v>8000</v>
      </c>
      <c r="K24" s="18">
        <v>1</v>
      </c>
      <c r="L24" s="18">
        <v>8000</v>
      </c>
      <c r="M24" s="16">
        <f t="shared" si="0"/>
        <v>32000</v>
      </c>
      <c r="N24" s="16"/>
    </row>
    <row r="25" spans="1:14">
      <c r="A25" s="2" t="s">
        <v>2</v>
      </c>
      <c r="B25" s="2"/>
      <c r="C25" s="2"/>
      <c r="D25" s="2"/>
      <c r="E25" s="2"/>
      <c r="F25" s="3">
        <f>SUM(F2:F24)</f>
        <v>78</v>
      </c>
      <c r="G25" s="3">
        <f>SUM(G2:G24)</f>
        <v>8</v>
      </c>
      <c r="H25" s="2"/>
      <c r="I25" s="3">
        <f>SUM(I2:I24)</f>
        <v>37</v>
      </c>
      <c r="J25" s="2"/>
      <c r="K25" s="3">
        <f>SUM(K2:K24)</f>
        <v>33</v>
      </c>
      <c r="L25" s="2"/>
      <c r="M25" s="3">
        <f>SUM(M2:M24)</f>
        <v>624000</v>
      </c>
      <c r="N25" s="2"/>
    </row>
  </sheetData>
  <mergeCells count="5">
    <mergeCell ref="A2:A4"/>
    <mergeCell ref="A9:A13"/>
    <mergeCell ref="A21:A24"/>
    <mergeCell ref="A14:A20"/>
    <mergeCell ref="A5:A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專案成本表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Jiang, Howard</cp:lastModifiedBy>
  <dcterms:created xsi:type="dcterms:W3CDTF">2026-05-20T10:46:37Z</dcterms:created>
  <dcterms:modified xsi:type="dcterms:W3CDTF">2026-05-25T15:52:57Z</dcterms:modified>
</cp:coreProperties>
</file>